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路线总览" sheetId="1" state="visible" r:id="rId3"/>
    <sheet name="节点数值" sheetId="2" state="visible" r:id="rId4"/>
  </sheets>
  <definedNames>
    <definedName function="false" hidden="true" localSheetId="1" name="_xlnm._FilterDatabase" vbProcedure="false">节点数值!$A$1:$J$25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<sst xmlns="http://schemas.openxmlformats.org/spreadsheetml/2006/main" count="168" uniqueCount="99">
  <si>
    <t xml:space="preserve">路线</t>
  </si>
  <si>
    <t xml:space="preserve">颜色</t>
  </si>
  <si>
    <t xml:space="preserve">玩法</t>
  </si>
  <si>
    <t xml:space="preserve">代表节点（按阶段）</t>
  </si>
  <si>
    <t xml:space="preserve">终局</t>
  </si>
  <si>
    <r>
      <rPr>
        <b val="true"/>
        <sz val="11"/>
        <color rgb="FFFFFFFF"/>
        <rFont val="Noto Sans CJK SC"/>
        <family val="2"/>
      </rPr>
      <t xml:space="preserve">终局 </t>
    </r>
    <r>
      <rPr>
        <b val="true"/>
        <sz val="11"/>
        <color rgb="FFFFFFFF"/>
        <rFont val="Arial"/>
        <family val="0"/>
        <charset val="1"/>
      </rPr>
      <t xml:space="preserve">CC </t>
    </r>
    <r>
      <rPr>
        <b val="true"/>
        <sz val="11"/>
        <color rgb="FFFFFFFF"/>
        <rFont val="Noto Sans CJK SC"/>
        <family val="2"/>
      </rPr>
      <t xml:space="preserve">倍率</t>
    </r>
  </si>
  <si>
    <t xml:space="preserve">终局额外加成</t>
  </si>
  <si>
    <t xml:space="preserve">褐矮星阶段升温方式</t>
  </si>
  <si>
    <t xml:space="preserve">撞击之路</t>
  </si>
  <si>
    <t xml:space="preserve">红</t>
  </si>
  <si>
    <t xml:space="preserve">点击流</t>
  </si>
  <si>
    <t xml:space="preserve">大陨石 → 碎片雨 → 彗星牵引 → 冲击加热</t>
  </si>
  <si>
    <t xml:space="preserve">中子星</t>
  </si>
  <si>
    <t xml:space="preserve">—</t>
  </si>
  <si>
    <r>
      <rPr>
        <sz val="11"/>
        <rFont val="Noto Sans CJK SC"/>
        <family val="2"/>
      </rPr>
      <t xml:space="preserve">冲击加热：点击升温 </t>
    </r>
    <r>
      <rPr>
        <sz val="11"/>
        <rFont val="Arial"/>
        <family val="0"/>
        <charset val="1"/>
      </rPr>
      <t xml:space="preserve">×2</t>
    </r>
  </si>
  <si>
    <t xml:space="preserve">引力之路</t>
  </si>
  <si>
    <t xml:space="preserve">蓝</t>
  </si>
  <si>
    <t xml:space="preserve">挂机流</t>
  </si>
  <si>
    <t xml:space="preserve">轨道捕获 → 引力透镜 → 吸积盘 → 引力收缩</t>
  </si>
  <si>
    <t xml:space="preserve">黑洞</t>
  </si>
  <si>
    <r>
      <rPr>
        <sz val="11"/>
        <rFont val="Noto Sans CJK SC"/>
        <family val="2"/>
      </rPr>
      <t xml:space="preserve">引力收缩：自动升温 </t>
    </r>
    <r>
      <rPr>
        <sz val="11"/>
        <rFont val="Arial"/>
        <family val="0"/>
        <charset val="1"/>
      </rPr>
      <t xml:space="preserve">×1.5</t>
    </r>
  </si>
  <si>
    <t xml:space="preserve">轨道之路</t>
  </si>
  <si>
    <t xml:space="preserve">绿</t>
  </si>
  <si>
    <t xml:space="preserve">经营流</t>
  </si>
  <si>
    <r>
      <rPr>
        <sz val="11"/>
        <rFont val="Noto Sans CJK SC"/>
        <family val="2"/>
      </rPr>
      <t xml:space="preserve">引力捕网 → 卫星槽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潮汐锁定 → 星环共振 → 潮汐加热</t>
    </r>
  </si>
  <si>
    <t xml:space="preserve">白矮星</t>
  </si>
  <si>
    <r>
      <rPr>
        <sz val="11"/>
        <rFont val="Noto Sans CJK SC"/>
        <family val="2"/>
      </rPr>
      <t xml:space="preserve">每颗卫星 </t>
    </r>
    <r>
      <rPr>
        <sz val="11"/>
        <rFont val="Arial"/>
        <family val="0"/>
        <charset val="1"/>
      </rPr>
      <t xml:space="preserve">+1 CC</t>
    </r>
  </si>
  <si>
    <r>
      <rPr>
        <sz val="11"/>
        <rFont val="Noto Sans CJK SC"/>
        <family val="2"/>
      </rPr>
      <t xml:space="preserve">潮汐加热：每颗卫星每秒 </t>
    </r>
    <r>
      <rPr>
        <sz val="11"/>
        <rFont val="Arial"/>
        <family val="0"/>
        <charset val="1"/>
      </rPr>
      <t xml:space="preserve">+8,000 K</t>
    </r>
  </si>
  <si>
    <t xml:space="preserve">规则：主干节点所有人共享；小行星阶段分叉，买下某条路线的第一个节点即选定该路线，另外两条在本宇宙内锁定，坍缩后可重选。</t>
  </si>
  <si>
    <r>
      <rPr>
        <i val="true"/>
        <sz val="11"/>
        <color rgb="FF555555"/>
        <rFont val="Noto Sans CJK SC"/>
        <family val="2"/>
      </rPr>
      <t xml:space="preserve">备注：卫星和星环基本只属于轨道之路，其他路线只有 </t>
    </r>
    <r>
      <rPr>
        <i val="true"/>
        <sz val="11"/>
        <color rgb="FF555555"/>
        <rFont val="Arial"/>
        <family val="0"/>
        <charset val="1"/>
      </rPr>
      <t xml:space="preserve">1 </t>
    </r>
    <r>
      <rPr>
        <i val="true"/>
        <sz val="11"/>
        <color rgb="FF555555"/>
        <rFont val="Noto Sans CJK SC"/>
        <family val="2"/>
      </rPr>
      <t xml:space="preserve">个卫星槽，凑不齐星环。三条路线强度尚未平衡。</t>
    </r>
  </si>
  <si>
    <r>
      <rPr>
        <i val="true"/>
        <sz val="11"/>
        <color rgb="FF555555"/>
        <rFont val="Noto Sans CJK SC"/>
        <family val="2"/>
      </rPr>
      <t xml:space="preserve">来源：《虚空到恒星》</t>
    </r>
    <r>
      <rPr>
        <i val="true"/>
        <sz val="11"/>
        <color rgb="FF555555"/>
        <rFont val="Arial"/>
        <family val="0"/>
        <charset val="1"/>
      </rPr>
      <t xml:space="preserve">v0.1 </t>
    </r>
    <r>
      <rPr>
        <i val="true"/>
        <sz val="11"/>
        <color rgb="FF555555"/>
        <rFont val="Noto Sans CJK SC"/>
        <family val="2"/>
      </rPr>
      <t xml:space="preserve">原型代码（</t>
    </r>
    <r>
      <rPr>
        <i val="true"/>
        <sz val="11"/>
        <color rgb="FF555555"/>
        <rFont val="Arial"/>
        <family val="0"/>
        <charset val="1"/>
      </rPr>
      <t xml:space="preserve">2026-10-12</t>
    </r>
    <r>
      <rPr>
        <i val="true"/>
        <sz val="11"/>
        <color rgb="FF555555"/>
        <rFont val="Noto Sans CJK SC"/>
        <family val="2"/>
      </rPr>
      <t xml:space="preserve">）。蓝色数字为可调参数。</t>
    </r>
  </si>
  <si>
    <t xml:space="preserve">解锁阶段</t>
  </si>
  <si>
    <t xml:space="preserve">节点</t>
  </si>
  <si>
    <t xml:space="preserve">效果</t>
  </si>
  <si>
    <t xml:space="preserve">货币</t>
  </si>
  <si>
    <t xml:space="preserve">基础价格</t>
  </si>
  <si>
    <t xml:space="preserve">价格增长倍率</t>
  </si>
  <si>
    <t xml:space="preserve">最高等级</t>
  </si>
  <si>
    <t xml:space="preserve">终局节点</t>
  </si>
  <si>
    <t xml:space="preserve">满级总花费</t>
  </si>
  <si>
    <t xml:space="preserve">主干</t>
  </si>
  <si>
    <t xml:space="preserve">虚空</t>
  </si>
  <si>
    <t xml:space="preserve">凝聚手法</t>
  </si>
  <si>
    <r>
      <rPr>
        <sz val="11"/>
        <rFont val="Noto Sans CJK SC"/>
        <family val="2"/>
      </rPr>
      <t xml:space="preserve">点击收益提升：固定部分 </t>
    </r>
    <r>
      <rPr>
        <sz val="11"/>
        <rFont val="Arial"/>
        <family val="0"/>
        <charset val="1"/>
      </rPr>
      <t xml:space="preserve">×3</t>
    </r>
    <r>
      <rPr>
        <sz val="11"/>
        <rFont val="Noto Sans CJK SC"/>
        <family val="2"/>
      </rPr>
      <t xml:space="preserve">，按质量计的部分 </t>
    </r>
    <r>
      <rPr>
        <sz val="11"/>
        <rFont val="Arial"/>
        <family val="0"/>
        <charset val="1"/>
      </rPr>
      <t xml:space="preserve">×1.2</t>
    </r>
  </si>
  <si>
    <t xml:space="preserve">kg</t>
  </si>
  <si>
    <t xml:space="preserve">引力井</t>
  </si>
  <si>
    <r>
      <rPr>
        <sz val="11"/>
        <rFont val="Noto Sans CJK SC"/>
        <family val="2"/>
      </rPr>
      <t xml:space="preserve">自动聚集，并让吸积率 </t>
    </r>
    <r>
      <rPr>
        <sz val="11"/>
        <rFont val="Arial"/>
        <family val="0"/>
        <charset val="1"/>
      </rPr>
      <t xml:space="preserve">+0.006/s</t>
    </r>
  </si>
  <si>
    <t xml:space="preserve">尘埃云</t>
  </si>
  <si>
    <t xml:space="preserve">静电吸附</t>
  </si>
  <si>
    <r>
      <rPr>
        <sz val="11"/>
        <rFont val="Noto Sans CJK SC"/>
        <family val="2"/>
      </rPr>
      <t xml:space="preserve">吸积率 </t>
    </r>
    <r>
      <rPr>
        <sz val="11"/>
        <rFont val="Arial"/>
        <family val="0"/>
        <charset val="1"/>
      </rPr>
      <t xml:space="preserve">+0.004/s</t>
    </r>
  </si>
  <si>
    <t xml:space="preserve">气态巨行星</t>
  </si>
  <si>
    <t xml:space="preserve">大气层增厚</t>
  </si>
  <si>
    <r>
      <rPr>
        <sz val="11"/>
        <rFont val="Noto Sans CJK SC"/>
        <family val="2"/>
      </rPr>
      <t xml:space="preserve">吸积率 </t>
    </r>
    <r>
      <rPr>
        <sz val="11"/>
        <rFont val="Arial"/>
        <family val="0"/>
        <charset val="1"/>
      </rPr>
      <t xml:space="preserve">×1.2</t>
    </r>
  </si>
  <si>
    <t xml:space="preserve">星云密度</t>
  </si>
  <si>
    <r>
      <rPr>
        <sz val="11"/>
        <rFont val="Noto Sans CJK SC"/>
        <family val="2"/>
      </rPr>
      <t xml:space="preserve">风暴概率 </t>
    </r>
    <r>
      <rPr>
        <sz val="11"/>
        <rFont val="Arial"/>
        <family val="0"/>
        <charset val="1"/>
      </rPr>
      <t xml:space="preserve">+15%</t>
    </r>
    <r>
      <rPr>
        <sz val="11"/>
        <rFont val="Noto Sans CJK SC"/>
        <family val="2"/>
      </rPr>
      <t xml:space="preserve">，持续 </t>
    </r>
    <r>
      <rPr>
        <sz val="11"/>
        <rFont val="Arial"/>
        <family val="0"/>
        <charset val="1"/>
      </rPr>
      <t xml:space="preserve">+5 </t>
    </r>
    <r>
      <rPr>
        <sz val="11"/>
        <rFont val="Noto Sans CJK SC"/>
        <family val="2"/>
      </rPr>
      <t xml:space="preserve">秒</t>
    </r>
  </si>
  <si>
    <t xml:space="preserve">褐矮星</t>
  </si>
  <si>
    <t xml:space="preserve">核心密度</t>
  </si>
  <si>
    <r>
      <rPr>
        <sz val="11"/>
        <rFont val="Noto Sans CJK SC"/>
        <family val="2"/>
      </rPr>
      <t xml:space="preserve">温度衰减 −</t>
    </r>
    <r>
      <rPr>
        <sz val="11"/>
        <rFont val="Arial"/>
        <family val="0"/>
        <charset val="1"/>
      </rPr>
      <t xml:space="preserve">30%</t>
    </r>
  </si>
  <si>
    <t xml:space="preserve">恒星</t>
  </si>
  <si>
    <t xml:space="preserve">聚变效率</t>
  </si>
  <si>
    <r>
      <rPr>
        <sz val="11"/>
        <rFont val="Noto Sans CJK SC"/>
        <family val="2"/>
      </rPr>
      <t xml:space="preserve">能量产出 </t>
    </r>
    <r>
      <rPr>
        <sz val="11"/>
        <rFont val="Arial"/>
        <family val="0"/>
        <charset val="1"/>
      </rPr>
      <t xml:space="preserve">×1.5</t>
    </r>
  </si>
  <si>
    <t xml:space="preserve">J</t>
  </si>
  <si>
    <t xml:space="preserve">对流层</t>
  </si>
  <si>
    <r>
      <rPr>
        <sz val="11"/>
        <rFont val="Noto Sans CJK SC"/>
        <family val="2"/>
      </rPr>
      <t xml:space="preserve">吸积率 </t>
    </r>
    <r>
      <rPr>
        <sz val="11"/>
        <rFont val="Arial"/>
        <family val="0"/>
        <charset val="1"/>
      </rPr>
      <t xml:space="preserve">×1.15</t>
    </r>
  </si>
  <si>
    <t xml:space="preserve">小行星</t>
  </si>
  <si>
    <t xml:space="preserve">大陨石</t>
  </si>
  <si>
    <r>
      <rPr>
        <sz val="11"/>
        <rFont val="Noto Sans CJK SC"/>
        <family val="2"/>
      </rPr>
      <t xml:space="preserve">暴击率 </t>
    </r>
    <r>
      <rPr>
        <sz val="11"/>
        <rFont val="Arial"/>
        <family val="0"/>
        <charset val="1"/>
      </rPr>
      <t xml:space="preserve">+5%</t>
    </r>
    <r>
      <rPr>
        <sz val="11"/>
        <rFont val="Noto Sans CJK SC"/>
        <family val="2"/>
      </rPr>
      <t xml:space="preserve">（基础 </t>
    </r>
    <r>
      <rPr>
        <sz val="11"/>
        <rFont val="Arial"/>
        <family val="0"/>
        <charset val="1"/>
      </rPr>
      <t xml:space="preserve">10%</t>
    </r>
    <r>
      <rPr>
        <sz val="11"/>
        <rFont val="Noto Sans CJK SC"/>
        <family val="2"/>
      </rPr>
      <t xml:space="preserve">）</t>
    </r>
  </si>
  <si>
    <t xml:space="preserve">岩质行星</t>
  </si>
  <si>
    <t xml:space="preserve">碎片雨</t>
  </si>
  <si>
    <r>
      <rPr>
        <sz val="11"/>
        <rFont val="Noto Sans CJK SC"/>
        <family val="2"/>
      </rPr>
      <t xml:space="preserve">每次点击额外获得 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秒的自动吸积量</t>
    </r>
  </si>
  <si>
    <t xml:space="preserve">彗星牵引</t>
  </si>
  <si>
    <r>
      <rPr>
        <sz val="11"/>
        <rFont val="Noto Sans CJK SC"/>
        <family val="2"/>
      </rPr>
      <t xml:space="preserve">暴击倍率 </t>
    </r>
    <r>
      <rPr>
        <sz val="11"/>
        <rFont val="Arial"/>
        <family val="0"/>
        <charset val="1"/>
      </rPr>
      <t xml:space="preserve">+5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×10 → ×15 → ×20</t>
    </r>
    <r>
      <rPr>
        <sz val="11"/>
        <rFont val="Noto Sans CJK SC"/>
        <family val="2"/>
      </rPr>
      <t xml:space="preserve">）</t>
    </r>
  </si>
  <si>
    <t xml:space="preserve">冲击加热</t>
  </si>
  <si>
    <r>
      <rPr>
        <sz val="11"/>
        <rFont val="Noto Sans CJK SC"/>
        <family val="2"/>
      </rPr>
      <t xml:space="preserve">点击升温 </t>
    </r>
    <r>
      <rPr>
        <sz val="11"/>
        <rFont val="Arial"/>
        <family val="0"/>
        <charset val="1"/>
      </rPr>
      <t xml:space="preserve">×2</t>
    </r>
  </si>
  <si>
    <r>
      <rPr>
        <sz val="11"/>
        <rFont val="Noto Sans CJK SC"/>
        <family val="2"/>
      </rPr>
      <t xml:space="preserve">终局：坍缩为中子星，结算宇宙常数 </t>
    </r>
    <r>
      <rPr>
        <sz val="11"/>
        <rFont val="Arial"/>
        <family val="0"/>
        <charset val="1"/>
      </rPr>
      <t xml:space="preserve">×1.3</t>
    </r>
  </si>
  <si>
    <t xml:space="preserve">是</t>
  </si>
  <si>
    <t xml:space="preserve">轨道捕获</t>
  </si>
  <si>
    <r>
      <rPr>
        <sz val="11"/>
        <rFont val="Noto Sans CJK SC"/>
        <family val="2"/>
      </rPr>
      <t xml:space="preserve">吸积率 </t>
    </r>
    <r>
      <rPr>
        <sz val="11"/>
        <rFont val="Arial"/>
        <family val="0"/>
        <charset val="1"/>
      </rPr>
      <t xml:space="preserve">+0.005/s</t>
    </r>
  </si>
  <si>
    <t xml:space="preserve">引力透镜</t>
  </si>
  <si>
    <r>
      <rPr>
        <sz val="11"/>
        <rFont val="Noto Sans CJK SC"/>
        <family val="2"/>
      </rPr>
      <t xml:space="preserve">吸积率 </t>
    </r>
    <r>
      <rPr>
        <sz val="11"/>
        <rFont val="Arial"/>
        <family val="0"/>
        <charset val="1"/>
      </rPr>
      <t xml:space="preserve">×1.25</t>
    </r>
  </si>
  <si>
    <t xml:space="preserve">吸积盘</t>
  </si>
  <si>
    <r>
      <rPr>
        <sz val="11"/>
        <rFont val="Noto Sans CJK SC"/>
        <family val="2"/>
      </rPr>
      <t xml:space="preserve">吸积率 </t>
    </r>
    <r>
      <rPr>
        <sz val="11"/>
        <rFont val="Arial"/>
        <family val="0"/>
        <charset val="1"/>
      </rPr>
      <t xml:space="preserve">×1.3</t>
    </r>
  </si>
  <si>
    <t xml:space="preserve">引力收缩</t>
  </si>
  <si>
    <r>
      <rPr>
        <sz val="11"/>
        <rFont val="Noto Sans CJK SC"/>
        <family val="2"/>
      </rPr>
      <t xml:space="preserve">自动升温 </t>
    </r>
    <r>
      <rPr>
        <sz val="11"/>
        <rFont val="Arial"/>
        <family val="0"/>
        <charset val="1"/>
      </rPr>
      <t xml:space="preserve">×1.5</t>
    </r>
  </si>
  <si>
    <r>
      <rPr>
        <sz val="11"/>
        <rFont val="Noto Sans CJK SC"/>
        <family val="2"/>
      </rPr>
      <t xml:space="preserve">终局：坍缩为黑洞，结算宇宙常数 </t>
    </r>
    <r>
      <rPr>
        <sz val="11"/>
        <rFont val="Arial"/>
        <family val="0"/>
        <charset val="1"/>
      </rPr>
      <t xml:space="preserve">×1.5</t>
    </r>
  </si>
  <si>
    <t xml:space="preserve">引力捕网</t>
  </si>
  <si>
    <r>
      <rPr>
        <sz val="11"/>
        <rFont val="Noto Sans CJK SC"/>
        <family val="2"/>
      </rPr>
      <t xml:space="preserve">小行星阶段就开始捕获天体；捕获间隔 −</t>
    </r>
    <r>
      <rPr>
        <sz val="11"/>
        <rFont val="Arial"/>
        <family val="0"/>
        <charset val="1"/>
      </rPr>
      <t xml:space="preserve">20%</t>
    </r>
  </si>
  <si>
    <t xml:space="preserve">卫星槽</t>
  </si>
  <si>
    <r>
      <rPr>
        <sz val="11"/>
        <rFont val="Noto Sans CJK SC"/>
        <family val="2"/>
      </rPr>
      <t xml:space="preserve">能留住的卫星 </t>
    </r>
    <r>
      <rPr>
        <sz val="11"/>
        <rFont val="Arial"/>
        <family val="0"/>
        <charset val="1"/>
      </rPr>
      <t xml:space="preserve">+1</t>
    </r>
  </si>
  <si>
    <t xml:space="preserve">潮汐锁定</t>
  </si>
  <si>
    <r>
      <rPr>
        <sz val="11"/>
        <rFont val="Noto Sans CJK SC"/>
        <family val="2"/>
      </rPr>
      <t xml:space="preserve">每颗卫星的吸积加成 </t>
    </r>
    <r>
      <rPr>
        <sz val="11"/>
        <rFont val="Arial"/>
        <family val="0"/>
        <charset val="1"/>
      </rPr>
      <t xml:space="preserve">+0.001/s</t>
    </r>
  </si>
  <si>
    <t xml:space="preserve">星环共振</t>
  </si>
  <si>
    <r>
      <rPr>
        <sz val="11"/>
        <rFont val="Noto Sans CJK SC"/>
        <family val="2"/>
      </rPr>
      <t xml:space="preserve">星环加成 </t>
    </r>
    <r>
      <rPr>
        <sz val="11"/>
        <rFont val="Arial"/>
        <family val="0"/>
        <charset val="1"/>
      </rPr>
      <t xml:space="preserve">×1.5 → ×2</t>
    </r>
    <r>
      <rPr>
        <sz val="11"/>
        <rFont val="Noto Sans CJK SC"/>
        <family val="2"/>
      </rPr>
      <t xml:space="preserve">；献祭卫星 </t>
    </r>
    <r>
      <rPr>
        <sz val="11"/>
        <rFont val="Arial"/>
        <family val="0"/>
        <charset val="1"/>
      </rPr>
      <t xml:space="preserve">×1.3 → ×1.5</t>
    </r>
  </si>
  <si>
    <t xml:space="preserve">潮汐加热</t>
  </si>
  <si>
    <r>
      <rPr>
        <sz val="11"/>
        <rFont val="Noto Sans CJK SC"/>
        <family val="2"/>
      </rPr>
      <t xml:space="preserve">每颗卫星每秒为核心升温 </t>
    </r>
    <r>
      <rPr>
        <sz val="11"/>
        <rFont val="Arial"/>
        <family val="0"/>
        <charset val="1"/>
      </rPr>
      <t xml:space="preserve">+8,000 K</t>
    </r>
  </si>
  <si>
    <r>
      <rPr>
        <sz val="11"/>
        <rFont val="Noto Sans CJK SC"/>
        <family val="2"/>
      </rPr>
      <t xml:space="preserve">终局：坍缩为白矮星，结算宇宙常数 </t>
    </r>
    <r>
      <rPr>
        <sz val="11"/>
        <rFont val="Arial"/>
        <family val="0"/>
        <charset val="1"/>
      </rPr>
      <t xml:space="preserve">×1.2</t>
    </r>
    <r>
      <rPr>
        <sz val="11"/>
        <rFont val="Noto Sans CJK SC"/>
        <family val="2"/>
      </rPr>
      <t xml:space="preserve">，每颗卫星再 </t>
    </r>
    <r>
      <rPr>
        <sz val="11"/>
        <rFont val="Arial"/>
        <family val="0"/>
        <charset val="1"/>
      </rPr>
      <t xml:space="preserve">+1</t>
    </r>
  </si>
  <si>
    <t xml:space="preserve">说明：蓝色为可调参数（基础价格、增长倍率、最高等级），改动后“满级总花费”自动重算。</t>
  </si>
  <si>
    <r>
      <rPr>
        <i val="true"/>
        <sz val="11"/>
        <color rgb="FF555555"/>
        <rFont val="Noto Sans CJK SC"/>
        <family val="2"/>
      </rPr>
      <t xml:space="preserve">第 </t>
    </r>
    <r>
      <rPr>
        <i val="true"/>
        <sz val="11"/>
        <color rgb="FF555555"/>
        <rFont val="Arial"/>
        <family val="0"/>
        <charset val="1"/>
      </rPr>
      <t xml:space="preserve">n </t>
    </r>
    <r>
      <rPr>
        <i val="true"/>
        <sz val="11"/>
        <color rgb="FF555555"/>
        <rFont val="Noto Sans CJK SC"/>
        <family val="2"/>
      </rPr>
      <t xml:space="preserve">级价格 </t>
    </r>
    <r>
      <rPr>
        <i val="true"/>
        <sz val="11"/>
        <color rgb="FF555555"/>
        <rFont val="Arial"/>
        <family val="0"/>
        <charset val="1"/>
      </rPr>
      <t xml:space="preserve">= </t>
    </r>
    <r>
      <rPr>
        <i val="true"/>
        <sz val="11"/>
        <color rgb="FF555555"/>
        <rFont val="Noto Sans CJK SC"/>
        <family val="2"/>
      </rPr>
      <t xml:space="preserve">基础价格 </t>
    </r>
    <r>
      <rPr>
        <i val="true"/>
        <sz val="11"/>
        <color rgb="FF555555"/>
        <rFont val="Arial"/>
        <family val="0"/>
        <charset val="1"/>
      </rPr>
      <t xml:space="preserve">× </t>
    </r>
    <r>
      <rPr>
        <i val="true"/>
        <sz val="11"/>
        <color rgb="FF555555"/>
        <rFont val="Noto Sans CJK SC"/>
        <family val="2"/>
      </rPr>
      <t xml:space="preserve">增长倍率</t>
    </r>
    <r>
      <rPr>
        <i val="true"/>
        <sz val="11"/>
        <color rgb="FF555555"/>
        <rFont val="Arial"/>
        <family val="0"/>
        <charset val="1"/>
      </rPr>
      <t xml:space="preserve">^(n−1)</t>
    </r>
    <r>
      <rPr>
        <i val="true"/>
        <sz val="11"/>
        <color rgb="FF555555"/>
        <rFont val="Noto Sans CJK SC"/>
        <family val="2"/>
      </rPr>
      <t xml:space="preserve">；满级总花费为等比数列求和。</t>
    </r>
  </si>
  <si>
    <r>
      <rPr>
        <i val="true"/>
        <sz val="11"/>
        <color rgb="FF555555"/>
        <rFont val="Noto Sans CJK SC"/>
        <family val="2"/>
      </rPr>
      <t xml:space="preserve">来源：《虚空到恒星》</t>
    </r>
    <r>
      <rPr>
        <i val="true"/>
        <sz val="11"/>
        <color rgb="FF555555"/>
        <rFont val="Arial"/>
        <family val="0"/>
        <charset val="1"/>
      </rPr>
      <t xml:space="preserve">v0.1 </t>
    </r>
    <r>
      <rPr>
        <i val="true"/>
        <sz val="11"/>
        <color rgb="FF555555"/>
        <rFont val="Noto Sans CJK SC"/>
        <family val="2"/>
      </rPr>
      <t xml:space="preserve">原型代码（</t>
    </r>
    <r>
      <rPr>
        <i val="true"/>
        <sz val="11"/>
        <color rgb="FF555555"/>
        <rFont val="Arial"/>
        <family val="0"/>
        <charset val="1"/>
      </rPr>
      <t xml:space="preserve">2026-10-12</t>
    </r>
    <r>
      <rPr>
        <i val="true"/>
        <sz val="11"/>
        <color rgb="FF555555"/>
        <rFont val="Noto Sans CJK SC"/>
        <family val="2"/>
      </rPr>
      <t xml:space="preserve">）。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</si>
</sst>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\×"/>
    <numFmt numFmtId="166" formatCode="0.00E+00"/>
    <numFmt numFmtId="167" formatCode="0\×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Noto Sans CJK SC"/>
      <family val="2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55555"/>
      <name val="Noto Sans CJK SC"/>
      <family val="2"/>
    </font>
    <font>
      <i val="true"/>
      <sz val="11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240"/>
        <bgColor rgb="FF003366"/>
      </patternFill>
    </fill>
    <fill>
      <patternFill patternType="solid">
        <fgColor rgb="FFFDE3E0"/>
        <bgColor rgb="FFEDEEF3"/>
      </patternFill>
    </fill>
    <fill>
      <patternFill patternType="solid">
        <fgColor rgb="FFDFF1FB"/>
        <bgColor rgb="FFE2F6E5"/>
      </patternFill>
    </fill>
    <fill>
      <patternFill patternType="solid">
        <fgColor rgb="FFE2F6E5"/>
        <bgColor rgb="FFDFF1FB"/>
      </patternFill>
    </fill>
    <fill>
      <patternFill patternType="solid">
        <fgColor rgb="FFEDEEF3"/>
        <bgColor rgb="FFDF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AD8"/>
      </left>
      <right style="thin">
        <color rgb="FFC8CAD8"/>
      </right>
      <top style="thin">
        <color rgb="FFC8CAD8"/>
      </top>
      <bottom style="thin">
        <color rgb="FFC8CA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240"/>
          <bgColor rgb="FF000000"/>
        </patternFill>
      </fill>
    </dxf>
    <dxf>
      <fill>
        <patternFill patternType="solid">
          <fgColor rgb="FFDFF1FB"/>
          <bgColor rgb="FF000000"/>
        </patternFill>
      </fill>
    </dxf>
    <dxf>
      <fill>
        <patternFill patternType="solid">
          <fgColor rgb="FFE2F6E5"/>
          <bgColor rgb="FF000000"/>
        </patternFill>
      </fill>
    </dxf>
    <dxf>
      <fill>
        <patternFill patternType="solid">
          <fgColor rgb="FFEDEEF3"/>
          <bgColor rgb="FF000000"/>
        </patternFill>
      </fill>
    </dxf>
    <dxf>
      <fill>
        <patternFill patternType="solid">
          <fgColor rgb="FFFDE3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AD8"/>
      <rgbColor rgb="FF808080"/>
      <rgbColor rgb="FF9999FF"/>
      <rgbColor rgb="FF993366"/>
      <rgbColor rgb="FFEDEEF3"/>
      <rgbColor rgb="FFDF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6E5"/>
      <rgbColor rgb="FFFFFF99"/>
      <rgbColor rgb="FF99CCFF"/>
      <rgbColor rgb="FFFF99CC"/>
      <rgbColor rgb="FFCC99FF"/>
      <rgbColor rgb="FFFDE3E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2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8" min="7" style="0" width="22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9.8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n">
        <v>1.3</v>
      </c>
      <c r="G2" s="4" t="s">
        <v>13</v>
      </c>
      <c r="H2" s="2" t="s">
        <v>14</v>
      </c>
    </row>
    <row r="3" customFormat="false" ht="29.85" hidden="false" customHeight="false" outlineLevel="0" collapsed="false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6" t="n">
        <v>1.5</v>
      </c>
      <c r="G3" s="7" t="s">
        <v>13</v>
      </c>
      <c r="H3" s="5" t="s">
        <v>20</v>
      </c>
    </row>
    <row r="4" customFormat="false" ht="32.8" hidden="false" customHeight="false" outlineLevel="0" collapsed="false">
      <c r="A4" s="8" t="s">
        <v>21</v>
      </c>
      <c r="B4" s="8" t="s">
        <v>22</v>
      </c>
      <c r="C4" s="8" t="s">
        <v>23</v>
      </c>
      <c r="D4" s="8" t="s">
        <v>24</v>
      </c>
      <c r="E4" s="8" t="s">
        <v>25</v>
      </c>
      <c r="F4" s="9" t="n">
        <v>1.2</v>
      </c>
      <c r="G4" s="8" t="s">
        <v>26</v>
      </c>
      <c r="H4" s="8" t="s">
        <v>27</v>
      </c>
    </row>
    <row r="6" customFormat="false" ht="15" hidden="false" customHeight="false" outlineLevel="0" collapsed="false">
      <c r="A6" s="10" t="s">
        <v>28</v>
      </c>
      <c r="B6" s="10"/>
      <c r="C6" s="10"/>
      <c r="D6" s="10"/>
      <c r="E6" s="10"/>
      <c r="F6" s="10"/>
      <c r="G6" s="10"/>
      <c r="H6" s="10"/>
    </row>
    <row r="7" customFormat="false" ht="17.15" hidden="false" customHeight="false" outlineLevel="0" collapsed="false">
      <c r="A7" s="10" t="s">
        <v>29</v>
      </c>
      <c r="B7" s="10"/>
      <c r="C7" s="10"/>
      <c r="D7" s="10"/>
      <c r="E7" s="10"/>
      <c r="F7" s="10"/>
      <c r="G7" s="10"/>
      <c r="H7" s="10"/>
    </row>
    <row r="8" customFormat="false" ht="17.15" hidden="false" customHeight="false" outlineLevel="0" collapsed="false">
      <c r="A8" s="10" t="s">
        <v>30</v>
      </c>
      <c r="B8" s="10"/>
      <c r="C8" s="10"/>
      <c r="D8" s="10"/>
      <c r="E8" s="10"/>
      <c r="F8" s="10"/>
      <c r="G8" s="10"/>
      <c r="H8" s="10"/>
    </row>
  </sheetData>
  <mergeCells count="3">
    <mergeCell ref="A6:H6"/>
    <mergeCell ref="A7:H7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2"/>
    <col collapsed="false" customWidth="true" hidden="false" outlineLevel="0" max="4" min="4" style="0" width="46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0"/>
    <col collapsed="false" customWidth="true" hidden="false" outlineLevel="0" max="10" min="10" style="0" width="16"/>
  </cols>
  <sheetData>
    <row r="1" customFormat="false" ht="32.8" hidden="false" customHeight="false" outlineLevel="0" collapsed="false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customFormat="false" ht="29.85" hidden="false" customHeight="false" outlineLevel="0" collapsed="false">
      <c r="A2" s="11" t="s">
        <v>40</v>
      </c>
      <c r="B2" s="11" t="s">
        <v>41</v>
      </c>
      <c r="C2" s="11" t="s">
        <v>42</v>
      </c>
      <c r="D2" s="12" t="s">
        <v>43</v>
      </c>
      <c r="E2" s="13" t="s">
        <v>44</v>
      </c>
      <c r="F2" s="14" t="n">
        <v>15</v>
      </c>
      <c r="G2" s="15" t="n">
        <v>5</v>
      </c>
      <c r="H2" s="16" t="n">
        <v>12</v>
      </c>
      <c r="I2" s="11"/>
      <c r="J2" s="17" t="n">
        <f aca="false">IF(G2=1,F2*H2,F2*(G2^H2-1)/(G2-1))</f>
        <v>915527340</v>
      </c>
    </row>
    <row r="3" customFormat="false" ht="17.15" hidden="false" customHeight="false" outlineLevel="0" collapsed="false">
      <c r="A3" s="11" t="s">
        <v>40</v>
      </c>
      <c r="B3" s="11" t="s">
        <v>41</v>
      </c>
      <c r="C3" s="11" t="s">
        <v>45</v>
      </c>
      <c r="D3" s="12" t="s">
        <v>46</v>
      </c>
      <c r="E3" s="13" t="s">
        <v>44</v>
      </c>
      <c r="F3" s="14" t="n">
        <v>40</v>
      </c>
      <c r="G3" s="15" t="n">
        <v>8</v>
      </c>
      <c r="H3" s="16" t="n">
        <v>8</v>
      </c>
      <c r="I3" s="11"/>
      <c r="J3" s="17" t="n">
        <f aca="false">IF(G3=1,F3*H3,F3*(G3^H3-1)/(G3-1))</f>
        <v>95869800</v>
      </c>
    </row>
    <row r="4" customFormat="false" ht="17.15" hidden="false" customHeight="false" outlineLevel="0" collapsed="false">
      <c r="A4" s="11" t="s">
        <v>40</v>
      </c>
      <c r="B4" s="11" t="s">
        <v>47</v>
      </c>
      <c r="C4" s="11" t="s">
        <v>48</v>
      </c>
      <c r="D4" s="12" t="s">
        <v>49</v>
      </c>
      <c r="E4" s="13" t="s">
        <v>44</v>
      </c>
      <c r="F4" s="14" t="n">
        <v>30000000000</v>
      </c>
      <c r="G4" s="15" t="n">
        <v>25</v>
      </c>
      <c r="H4" s="16" t="n">
        <v>10</v>
      </c>
      <c r="I4" s="11"/>
      <c r="J4" s="17" t="n">
        <f aca="false">IF(G4=1,F4*H4,F4*(G4^H4-1)/(G4-1))</f>
        <v>1.1920928955078E+023</v>
      </c>
    </row>
    <row r="5" customFormat="false" ht="17.15" hidden="false" customHeight="false" outlineLevel="0" collapsed="false">
      <c r="A5" s="11" t="s">
        <v>40</v>
      </c>
      <c r="B5" s="11" t="s">
        <v>50</v>
      </c>
      <c r="C5" s="11" t="s">
        <v>51</v>
      </c>
      <c r="D5" s="12" t="s">
        <v>52</v>
      </c>
      <c r="E5" s="13" t="s">
        <v>44</v>
      </c>
      <c r="F5" s="14" t="n">
        <v>2E+027</v>
      </c>
      <c r="G5" s="15" t="n">
        <v>8</v>
      </c>
      <c r="H5" s="16" t="n">
        <v>10</v>
      </c>
      <c r="I5" s="11"/>
      <c r="J5" s="17" t="n">
        <f aca="false">IF(G5=1,F5*H5,F5*(G5^H5-1)/(G5-1))</f>
        <v>3.06783378E+035</v>
      </c>
    </row>
    <row r="6" customFormat="false" ht="17.15" hidden="false" customHeight="false" outlineLevel="0" collapsed="false">
      <c r="A6" s="11" t="s">
        <v>40</v>
      </c>
      <c r="B6" s="11" t="s">
        <v>50</v>
      </c>
      <c r="C6" s="11" t="s">
        <v>53</v>
      </c>
      <c r="D6" s="12" t="s">
        <v>54</v>
      </c>
      <c r="E6" s="13" t="s">
        <v>44</v>
      </c>
      <c r="F6" s="14" t="n">
        <v>5E+027</v>
      </c>
      <c r="G6" s="15" t="n">
        <v>20</v>
      </c>
      <c r="H6" s="16" t="n">
        <v>3</v>
      </c>
      <c r="I6" s="11"/>
      <c r="J6" s="17" t="n">
        <f aca="false">IF(G6=1,F6*H6,F6*(G6^H6-1)/(G6-1))</f>
        <v>2.105E+030</v>
      </c>
    </row>
    <row r="7" customFormat="false" ht="17.15" hidden="false" customHeight="false" outlineLevel="0" collapsed="false">
      <c r="A7" s="11" t="s">
        <v>40</v>
      </c>
      <c r="B7" s="11" t="s">
        <v>55</v>
      </c>
      <c r="C7" s="11" t="s">
        <v>56</v>
      </c>
      <c r="D7" s="12" t="s">
        <v>57</v>
      </c>
      <c r="E7" s="13" t="s">
        <v>44</v>
      </c>
      <c r="F7" s="14" t="n">
        <v>2E+029</v>
      </c>
      <c r="G7" s="15" t="n">
        <v>6</v>
      </c>
      <c r="H7" s="16" t="n">
        <v>5</v>
      </c>
      <c r="I7" s="11"/>
      <c r="J7" s="17" t="n">
        <f aca="false">IF(G7=1,F7*H7,F7*(G7^H7-1)/(G7-1))</f>
        <v>3.11E+032</v>
      </c>
    </row>
    <row r="8" customFormat="false" ht="17.15" hidden="false" customHeight="false" outlineLevel="0" collapsed="false">
      <c r="A8" s="11" t="s">
        <v>40</v>
      </c>
      <c r="B8" s="11" t="s">
        <v>58</v>
      </c>
      <c r="C8" s="11" t="s">
        <v>59</v>
      </c>
      <c r="D8" s="12" t="s">
        <v>60</v>
      </c>
      <c r="E8" s="13" t="s">
        <v>61</v>
      </c>
      <c r="F8" s="14" t="n">
        <v>5E+028</v>
      </c>
      <c r="G8" s="15" t="n">
        <v>3</v>
      </c>
      <c r="H8" s="16" t="n">
        <v>10</v>
      </c>
      <c r="I8" s="11"/>
      <c r="J8" s="17" t="n">
        <f aca="false">IF(G8=1,F8*H8,F8*(G8^H8-1)/(G8-1))</f>
        <v>1.4762E+033</v>
      </c>
    </row>
    <row r="9" customFormat="false" ht="17.15" hidden="false" customHeight="false" outlineLevel="0" collapsed="false">
      <c r="A9" s="11" t="s">
        <v>40</v>
      </c>
      <c r="B9" s="11" t="s">
        <v>58</v>
      </c>
      <c r="C9" s="11" t="s">
        <v>62</v>
      </c>
      <c r="D9" s="12" t="s">
        <v>63</v>
      </c>
      <c r="E9" s="13" t="s">
        <v>61</v>
      </c>
      <c r="F9" s="14" t="n">
        <v>1E+029</v>
      </c>
      <c r="G9" s="15" t="n">
        <v>4</v>
      </c>
      <c r="H9" s="16" t="n">
        <v>10</v>
      </c>
      <c r="I9" s="11"/>
      <c r="J9" s="17" t="n">
        <f aca="false">IF(G9=1,F9*H9,F9*(G9^H9-1)/(G9-1))</f>
        <v>3.49525E+034</v>
      </c>
    </row>
    <row r="10" customFormat="false" ht="17.15" hidden="false" customHeight="false" outlineLevel="0" collapsed="false">
      <c r="A10" s="18" t="s">
        <v>8</v>
      </c>
      <c r="B10" s="18" t="s">
        <v>64</v>
      </c>
      <c r="C10" s="18" t="s">
        <v>65</v>
      </c>
      <c r="D10" s="2" t="s">
        <v>66</v>
      </c>
      <c r="E10" s="19" t="s">
        <v>44</v>
      </c>
      <c r="F10" s="20" t="n">
        <v>4E+018</v>
      </c>
      <c r="G10" s="21" t="n">
        <v>30</v>
      </c>
      <c r="H10" s="22" t="n">
        <v>6</v>
      </c>
      <c r="I10" s="18"/>
      <c r="J10" s="23" t="n">
        <f aca="false">IF(G10=1,F10*H10,F10*(G10^H10-1)/(G10-1))</f>
        <v>1.00551724E+026</v>
      </c>
    </row>
    <row r="11" customFormat="false" ht="17.15" hidden="false" customHeight="false" outlineLevel="0" collapsed="false">
      <c r="A11" s="18" t="s">
        <v>8</v>
      </c>
      <c r="B11" s="18" t="s">
        <v>67</v>
      </c>
      <c r="C11" s="18" t="s">
        <v>68</v>
      </c>
      <c r="D11" s="2" t="s">
        <v>69</v>
      </c>
      <c r="E11" s="19" t="s">
        <v>44</v>
      </c>
      <c r="F11" s="20" t="n">
        <v>2E+024</v>
      </c>
      <c r="G11" s="21" t="n">
        <v>20</v>
      </c>
      <c r="H11" s="22" t="n">
        <v>5</v>
      </c>
      <c r="I11" s="18"/>
      <c r="J11" s="23" t="n">
        <f aca="false">IF(G11=1,F11*H11,F11*(G11^H11-1)/(G11-1))</f>
        <v>3.36842E+029</v>
      </c>
    </row>
    <row r="12" customFormat="false" ht="17.15" hidden="false" customHeight="false" outlineLevel="0" collapsed="false">
      <c r="A12" s="18" t="s">
        <v>8</v>
      </c>
      <c r="B12" s="18" t="s">
        <v>50</v>
      </c>
      <c r="C12" s="18" t="s">
        <v>70</v>
      </c>
      <c r="D12" s="2" t="s">
        <v>71</v>
      </c>
      <c r="E12" s="19" t="s">
        <v>44</v>
      </c>
      <c r="F12" s="20" t="n">
        <v>4E+027</v>
      </c>
      <c r="G12" s="21" t="n">
        <v>30</v>
      </c>
      <c r="H12" s="22" t="n">
        <v>2</v>
      </c>
      <c r="I12" s="18"/>
      <c r="J12" s="23" t="n">
        <f aca="false">IF(G12=1,F12*H12,F12*(G12^H12-1)/(G12-1))</f>
        <v>1.24E+029</v>
      </c>
    </row>
    <row r="13" customFormat="false" ht="17.15" hidden="false" customHeight="false" outlineLevel="0" collapsed="false">
      <c r="A13" s="18" t="s">
        <v>8</v>
      </c>
      <c r="B13" s="18" t="s">
        <v>55</v>
      </c>
      <c r="C13" s="18" t="s">
        <v>72</v>
      </c>
      <c r="D13" s="2" t="s">
        <v>73</v>
      </c>
      <c r="E13" s="19" t="s">
        <v>44</v>
      </c>
      <c r="F13" s="20" t="n">
        <v>2E+029</v>
      </c>
      <c r="G13" s="21" t="n">
        <v>8</v>
      </c>
      <c r="H13" s="22" t="n">
        <v>3</v>
      </c>
      <c r="I13" s="18"/>
      <c r="J13" s="23" t="n">
        <f aca="false">IF(G13=1,F13*H13,F13*(G13^H13-1)/(G13-1))</f>
        <v>1.46E+031</v>
      </c>
    </row>
    <row r="14" customFormat="false" ht="17.15" hidden="false" customHeight="false" outlineLevel="0" collapsed="false">
      <c r="A14" s="18" t="s">
        <v>8</v>
      </c>
      <c r="B14" s="18" t="s">
        <v>58</v>
      </c>
      <c r="C14" s="18" t="s">
        <v>12</v>
      </c>
      <c r="D14" s="2" t="s">
        <v>74</v>
      </c>
      <c r="E14" s="19" t="s">
        <v>61</v>
      </c>
      <c r="F14" s="20" t="n">
        <v>4E+028</v>
      </c>
      <c r="G14" s="21" t="n">
        <v>1</v>
      </c>
      <c r="H14" s="22" t="n">
        <v>1</v>
      </c>
      <c r="I14" s="18" t="s">
        <v>75</v>
      </c>
      <c r="J14" s="23" t="n">
        <f aca="false">IF(G14=1,F14*H14,F14*(G14^H14-1)/(G14-1))</f>
        <v>4E+028</v>
      </c>
    </row>
    <row r="15" customFormat="false" ht="17.15" hidden="false" customHeight="false" outlineLevel="0" collapsed="false">
      <c r="A15" s="24" t="s">
        <v>15</v>
      </c>
      <c r="B15" s="24" t="s">
        <v>64</v>
      </c>
      <c r="C15" s="24" t="s">
        <v>76</v>
      </c>
      <c r="D15" s="5" t="s">
        <v>77</v>
      </c>
      <c r="E15" s="25" t="s">
        <v>44</v>
      </c>
      <c r="F15" s="26" t="n">
        <v>2E+018</v>
      </c>
      <c r="G15" s="27" t="n">
        <v>40</v>
      </c>
      <c r="H15" s="28" t="n">
        <v>8</v>
      </c>
      <c r="I15" s="24"/>
      <c r="J15" s="29" t="n">
        <f aca="false">IF(G15=1,F15*H15,F15*(G15^H15-1)/(G15-1))</f>
        <v>3.36082051282E+029</v>
      </c>
    </row>
    <row r="16" customFormat="false" ht="17.15" hidden="false" customHeight="false" outlineLevel="0" collapsed="false">
      <c r="A16" s="24" t="s">
        <v>15</v>
      </c>
      <c r="B16" s="24" t="s">
        <v>67</v>
      </c>
      <c r="C16" s="24" t="s">
        <v>78</v>
      </c>
      <c r="D16" s="5" t="s">
        <v>79</v>
      </c>
      <c r="E16" s="25" t="s">
        <v>44</v>
      </c>
      <c r="F16" s="26" t="n">
        <v>5E+024</v>
      </c>
      <c r="G16" s="27" t="n">
        <v>25</v>
      </c>
      <c r="H16" s="28" t="n">
        <v>4</v>
      </c>
      <c r="I16" s="24"/>
      <c r="J16" s="29" t="n">
        <f aca="false">IF(G16=1,F16*H16,F16*(G16^H16-1)/(G16-1))</f>
        <v>8.138E+028</v>
      </c>
    </row>
    <row r="17" customFormat="false" ht="17.15" hidden="false" customHeight="false" outlineLevel="0" collapsed="false">
      <c r="A17" s="24" t="s">
        <v>15</v>
      </c>
      <c r="B17" s="24" t="s">
        <v>50</v>
      </c>
      <c r="C17" s="24" t="s">
        <v>80</v>
      </c>
      <c r="D17" s="5" t="s">
        <v>81</v>
      </c>
      <c r="E17" s="25" t="s">
        <v>44</v>
      </c>
      <c r="F17" s="26" t="n">
        <v>5E+027</v>
      </c>
      <c r="G17" s="27" t="n">
        <v>30</v>
      </c>
      <c r="H17" s="28" t="n">
        <v>3</v>
      </c>
      <c r="I17" s="24"/>
      <c r="J17" s="29" t="n">
        <f aca="false">IF(G17=1,F17*H17,F17*(G17^H17-1)/(G17-1))</f>
        <v>4.655E+030</v>
      </c>
    </row>
    <row r="18" customFormat="false" ht="17.15" hidden="false" customHeight="false" outlineLevel="0" collapsed="false">
      <c r="A18" s="24" t="s">
        <v>15</v>
      </c>
      <c r="B18" s="24" t="s">
        <v>55</v>
      </c>
      <c r="C18" s="24" t="s">
        <v>82</v>
      </c>
      <c r="D18" s="5" t="s">
        <v>83</v>
      </c>
      <c r="E18" s="25" t="s">
        <v>44</v>
      </c>
      <c r="F18" s="26" t="n">
        <v>3E+029</v>
      </c>
      <c r="G18" s="27" t="n">
        <v>6</v>
      </c>
      <c r="H18" s="28" t="n">
        <v>6</v>
      </c>
      <c r="I18" s="24"/>
      <c r="J18" s="29" t="n">
        <f aca="false">IF(G18=1,F18*H18,F18*(G18^H18-1)/(G18-1))</f>
        <v>2.7993E+033</v>
      </c>
    </row>
    <row r="19" customFormat="false" ht="17.15" hidden="false" customHeight="false" outlineLevel="0" collapsed="false">
      <c r="A19" s="24" t="s">
        <v>15</v>
      </c>
      <c r="B19" s="24" t="s">
        <v>58</v>
      </c>
      <c r="C19" s="24" t="s">
        <v>19</v>
      </c>
      <c r="D19" s="5" t="s">
        <v>84</v>
      </c>
      <c r="E19" s="25" t="s">
        <v>61</v>
      </c>
      <c r="F19" s="26" t="n">
        <v>8E+028</v>
      </c>
      <c r="G19" s="27" t="n">
        <v>1</v>
      </c>
      <c r="H19" s="28" t="n">
        <v>1</v>
      </c>
      <c r="I19" s="24" t="s">
        <v>75</v>
      </c>
      <c r="J19" s="29" t="n">
        <f aca="false">IF(G19=1,F19*H19,F19*(G19^H19-1)/(G19-1))</f>
        <v>8E+028</v>
      </c>
    </row>
    <row r="20" customFormat="false" ht="17.15" hidden="false" customHeight="false" outlineLevel="0" collapsed="false">
      <c r="A20" s="30" t="s">
        <v>21</v>
      </c>
      <c r="B20" s="30" t="s">
        <v>64</v>
      </c>
      <c r="C20" s="30" t="s">
        <v>85</v>
      </c>
      <c r="D20" s="8" t="s">
        <v>86</v>
      </c>
      <c r="E20" s="31" t="s">
        <v>44</v>
      </c>
      <c r="F20" s="32" t="n">
        <v>3E+018</v>
      </c>
      <c r="G20" s="33" t="n">
        <v>30</v>
      </c>
      <c r="H20" s="34" t="n">
        <v>3</v>
      </c>
      <c r="I20" s="30"/>
      <c r="J20" s="35" t="n">
        <f aca="false">IF(G20=1,F20*H20,F20*(G20^H20-1)/(G20-1))</f>
        <v>2.793E+021</v>
      </c>
    </row>
    <row r="21" customFormat="false" ht="17.15" hidden="false" customHeight="false" outlineLevel="0" collapsed="false">
      <c r="A21" s="30" t="s">
        <v>21</v>
      </c>
      <c r="B21" s="30" t="s">
        <v>67</v>
      </c>
      <c r="C21" s="30" t="s">
        <v>87</v>
      </c>
      <c r="D21" s="8" t="s">
        <v>88</v>
      </c>
      <c r="E21" s="31" t="s">
        <v>44</v>
      </c>
      <c r="F21" s="32" t="n">
        <v>3E+024</v>
      </c>
      <c r="G21" s="33" t="n">
        <v>20</v>
      </c>
      <c r="H21" s="34" t="n">
        <v>4</v>
      </c>
      <c r="I21" s="30"/>
      <c r="J21" s="35" t="n">
        <f aca="false">IF(G21=1,F21*H21,F21*(G21^H21-1)/(G21-1))</f>
        <v>2.5263E+028</v>
      </c>
    </row>
    <row r="22" customFormat="false" ht="17.15" hidden="false" customHeight="false" outlineLevel="0" collapsed="false">
      <c r="A22" s="30" t="s">
        <v>21</v>
      </c>
      <c r="B22" s="30" t="s">
        <v>67</v>
      </c>
      <c r="C22" s="30" t="s">
        <v>89</v>
      </c>
      <c r="D22" s="8" t="s">
        <v>90</v>
      </c>
      <c r="E22" s="31" t="s">
        <v>44</v>
      </c>
      <c r="F22" s="32" t="n">
        <v>1E+025</v>
      </c>
      <c r="G22" s="33" t="n">
        <v>30</v>
      </c>
      <c r="H22" s="34" t="n">
        <v>6</v>
      </c>
      <c r="I22" s="30"/>
      <c r="J22" s="35" t="n">
        <f aca="false">IF(G22=1,F22*H22,F22*(G22^H22-1)/(G22-1))</f>
        <v>2.5137931E+032</v>
      </c>
    </row>
    <row r="23" customFormat="false" ht="17.15" hidden="false" customHeight="false" outlineLevel="0" collapsed="false">
      <c r="A23" s="30" t="s">
        <v>21</v>
      </c>
      <c r="B23" s="30" t="s">
        <v>50</v>
      </c>
      <c r="C23" s="30" t="s">
        <v>91</v>
      </c>
      <c r="D23" s="8" t="s">
        <v>92</v>
      </c>
      <c r="E23" s="31" t="s">
        <v>44</v>
      </c>
      <c r="F23" s="32" t="n">
        <v>3E+027</v>
      </c>
      <c r="G23" s="33" t="n">
        <v>1</v>
      </c>
      <c r="H23" s="34" t="n">
        <v>1</v>
      </c>
      <c r="I23" s="30"/>
      <c r="J23" s="35" t="n">
        <f aca="false">IF(G23=1,F23*H23,F23*(G23^H23-1)/(G23-1))</f>
        <v>3E+027</v>
      </c>
    </row>
    <row r="24" customFormat="false" ht="17.15" hidden="false" customHeight="false" outlineLevel="0" collapsed="false">
      <c r="A24" s="30" t="s">
        <v>21</v>
      </c>
      <c r="B24" s="30" t="s">
        <v>55</v>
      </c>
      <c r="C24" s="30" t="s">
        <v>93</v>
      </c>
      <c r="D24" s="8" t="s">
        <v>94</v>
      </c>
      <c r="E24" s="31" t="s">
        <v>44</v>
      </c>
      <c r="F24" s="32" t="n">
        <v>2E+029</v>
      </c>
      <c r="G24" s="33" t="n">
        <v>6</v>
      </c>
      <c r="H24" s="34" t="n">
        <v>3</v>
      </c>
      <c r="I24" s="30"/>
      <c r="J24" s="35" t="n">
        <f aca="false">IF(G24=1,F24*H24,F24*(G24^H24-1)/(G24-1))</f>
        <v>8.6E+030</v>
      </c>
    </row>
    <row r="25" customFormat="false" ht="32.8" hidden="false" customHeight="false" outlineLevel="0" collapsed="false">
      <c r="A25" s="30" t="s">
        <v>21</v>
      </c>
      <c r="B25" s="30" t="s">
        <v>58</v>
      </c>
      <c r="C25" s="30" t="s">
        <v>25</v>
      </c>
      <c r="D25" s="8" t="s">
        <v>95</v>
      </c>
      <c r="E25" s="31" t="s">
        <v>61</v>
      </c>
      <c r="F25" s="32" t="n">
        <v>3E+028</v>
      </c>
      <c r="G25" s="33" t="n">
        <v>1</v>
      </c>
      <c r="H25" s="34" t="n">
        <v>1</v>
      </c>
      <c r="I25" s="30" t="s">
        <v>75</v>
      </c>
      <c r="J25" s="35" t="n">
        <f aca="false">IF(G25=1,F25*H25,F25*(G25^H25-1)/(G25-1))</f>
        <v>3E+028</v>
      </c>
    </row>
    <row r="27" customFormat="false" ht="15" hidden="false" customHeight="false" outlineLevel="0" collapsed="false">
      <c r="A27" s="10" t="s">
        <v>96</v>
      </c>
      <c r="B27" s="10"/>
      <c r="C27" s="10"/>
      <c r="D27" s="10"/>
      <c r="E27" s="10"/>
      <c r="F27" s="10"/>
      <c r="G27" s="10"/>
      <c r="H27" s="10"/>
      <c r="I27" s="10"/>
      <c r="J27" s="10"/>
    </row>
    <row r="28" customFormat="false" ht="17.15" hidden="false" customHeight="false" outlineLevel="0" collapsed="false">
      <c r="A28" s="10" t="s">
        <v>97</v>
      </c>
      <c r="B28" s="10"/>
      <c r="C28" s="10"/>
      <c r="D28" s="10"/>
      <c r="E28" s="10"/>
      <c r="F28" s="10"/>
      <c r="G28" s="10"/>
      <c r="H28" s="10"/>
      <c r="I28" s="10"/>
      <c r="J28" s="10"/>
    </row>
    <row r="29" customFormat="false" ht="17.15" hidden="false" customHeight="false" outlineLevel="0" collapsed="false">
      <c r="A29" s="10" t="s">
        <v>98</v>
      </c>
      <c r="B29" s="10"/>
      <c r="C29" s="10"/>
      <c r="D29" s="10"/>
      <c r="E29" s="10"/>
      <c r="F29" s="10"/>
      <c r="G29" s="10"/>
      <c r="H29" s="10"/>
      <c r="I29" s="10"/>
      <c r="J29" s="10"/>
    </row>
  </sheetData>
  <autoFilter ref="A1:J25"/>
  <mergeCells count="3">
    <mergeCell ref="A27:J27"/>
    <mergeCell ref="A28:J28"/>
    <mergeCell ref="A29:J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2026-10-12T09:05:30Z</dcterms:created>
  <dc:creator>openpyxl</dc:creator>
  <dc:description/>
  <dc:language>en-US</dc:language>
  <cp:lastModifiedBy/>
  <dcterms:modified xsi:type="dcterms:W3CDTF">2026-10-12T09:05:30Z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